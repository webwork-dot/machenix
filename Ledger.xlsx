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0" windowWidth="21975" windowHeight="11520"/>
  </bookViews>
  <sheets>
    <sheet name="Sheet1" sheetId="1" r:id="rId1"/>
    <sheet name="Sheet2" sheetId="2" r:id="rId2"/>
    <sheet name="Sheet3" sheetId="3" r:id="rId3"/>
  </sheets>
  <calcPr calcId="124519"/>
</workbook>
</file>

<file path=xl/calcChain.xml><?xml version="1.0" encoding="utf-8"?>
<calcChain xmlns="http://schemas.openxmlformats.org/spreadsheetml/2006/main">
  <c r="T57" i="1"/>
  <c r="R57"/>
  <c r="L57"/>
  <c r="K57"/>
  <c r="N54"/>
  <c r="M54"/>
  <c r="J54"/>
  <c r="H54"/>
  <c r="O54" s="1"/>
  <c r="J53"/>
  <c r="H53"/>
  <c r="O53" s="1"/>
  <c r="O52"/>
  <c r="M52"/>
  <c r="O50"/>
  <c r="N50"/>
  <c r="P50" s="1"/>
  <c r="M50"/>
  <c r="J50"/>
  <c r="J57" s="1"/>
  <c r="H50"/>
  <c r="H57" s="1"/>
  <c r="P49"/>
  <c r="O49"/>
  <c r="N49"/>
  <c r="M49"/>
  <c r="Z48"/>
  <c r="Z49" s="1"/>
  <c r="Z50" s="1"/>
  <c r="Z51" s="1"/>
  <c r="Z52" s="1"/>
  <c r="Z53" s="1"/>
  <c r="Z54" s="1"/>
  <c r="Z55" s="1"/>
  <c r="X48"/>
  <c r="X49" s="1"/>
  <c r="X50" s="1"/>
  <c r="X51" s="1"/>
  <c r="V48"/>
  <c r="V49" s="1"/>
  <c r="O36"/>
  <c r="N36"/>
  <c r="J36"/>
  <c r="I36"/>
  <c r="H36"/>
  <c r="G36"/>
  <c r="F36"/>
  <c r="K33"/>
  <c r="M33" s="1"/>
  <c r="J33"/>
  <c r="M31"/>
  <c r="L31"/>
  <c r="K31"/>
  <c r="J31"/>
  <c r="L30"/>
  <c r="T30" s="1"/>
  <c r="T31" s="1"/>
  <c r="T32" s="1"/>
  <c r="T33" s="1"/>
  <c r="T34" s="1"/>
  <c r="K30"/>
  <c r="K36" s="1"/>
  <c r="J30"/>
  <c r="T29"/>
  <c r="R29"/>
  <c r="R30" s="1"/>
  <c r="R31" s="1"/>
  <c r="R32" s="1"/>
  <c r="R33" s="1"/>
  <c r="R34" s="1"/>
  <c r="P29"/>
  <c r="P30" l="1"/>
  <c r="P31" s="1"/>
  <c r="P32" s="1"/>
  <c r="P33" s="1"/>
  <c r="P34" s="1"/>
  <c r="X52"/>
  <c r="X53" s="1"/>
  <c r="X54" s="1"/>
  <c r="X55" s="1"/>
  <c r="O57"/>
  <c r="V50"/>
  <c r="V51" s="1"/>
  <c r="N57"/>
  <c r="M57"/>
  <c r="N53"/>
  <c r="P53" s="1"/>
  <c r="P54"/>
  <c r="L36"/>
  <c r="M30"/>
  <c r="M36" s="1"/>
  <c r="N52"/>
  <c r="P52" s="1"/>
  <c r="P57" s="1"/>
  <c r="M53"/>
  <c r="V52" l="1"/>
  <c r="V53" s="1"/>
  <c r="V54" s="1"/>
  <c r="V55" s="1"/>
</calcChain>
</file>

<file path=xl/sharedStrings.xml><?xml version="1.0" encoding="utf-8"?>
<sst xmlns="http://schemas.openxmlformats.org/spreadsheetml/2006/main" count="150" uniqueCount="81">
  <si>
    <t>Customer Complete details in top</t>
  </si>
  <si>
    <t>Salesperson Name also show</t>
  </si>
  <si>
    <t>Also Outstanding Limit we set of that customer need to show</t>
  </si>
  <si>
    <t>Filter Date : Custom Date, 3 months, 6 months, 12 months (By Default 3 Months)</t>
  </si>
  <si>
    <t>Need to see Bill Wise, Product Wise, Bill Wise Detailed, Product Wise Detailed</t>
  </si>
  <si>
    <t>Bill Wise will show column : Date, Particulars, Vch Type, Vch No, Final Sale Total (Debit) , Bank Amt or Cash Amt (Credit), Final Balance, Added By</t>
  </si>
  <si>
    <t>Bill Wise Detailed will show below format</t>
  </si>
  <si>
    <t>Product Wise will show column : Date, Particulars, Vch Type, Vch No, After that 2nd line Product Name, Qty, Rate/Pc, Rate, GST, Final Sale Total (Debit) , Bank Amt or Cash Amt (Credit), Final Balance</t>
  </si>
  <si>
    <t>Product Wise Detailed will show last format</t>
  </si>
  <si>
    <t>Bill Wise (Bifercate Final Sale), it will show columns, only when we see Bill Wise, there will be one more tick Bill Bifercate or some thing good name, in this, Rate and Gst column will be added before final amt</t>
  </si>
  <si>
    <t>Product Wise (Bifercate Final Sale), it will show columns, only when we see Product Wise, there will be one more tick Bill Bifercate or some thing good name, in this, Qty, Rate/Pc, Rate and Gst column will be added before final amt</t>
  </si>
  <si>
    <t xml:space="preserve">Bill Wise : </t>
  </si>
  <si>
    <t>All will show all columns as shown</t>
  </si>
  <si>
    <t>White will show Date, Particulars, Vch Type, Vch No and green colored marked</t>
  </si>
  <si>
    <t>Black will show Date, Particulars, Vch Type, Vch No, Rate, Orange colored marked</t>
  </si>
  <si>
    <t>On tick of Purchase, it will show purchase records also, can show records same as like Sales Return (By Default NO)</t>
  </si>
  <si>
    <t>After that in top where you shown opening balance and all, show as below :</t>
  </si>
  <si>
    <t>Any New in Voucher Type Need to see here total, Like Black Order Pen Bill, or Sales Conversion Bill or Purchase Conversion Bill</t>
  </si>
  <si>
    <r>
      <rPr>
        <sz val="12"/>
        <color theme="1"/>
        <rFont val="Calibri"/>
        <family val="2"/>
        <scheme val="minor"/>
      </rPr>
      <t>Opening Balance : 500000</t>
    </r>
    <r>
      <rPr>
        <sz val="11"/>
        <color theme="1"/>
        <rFont val="Calibri"/>
        <family val="2"/>
        <scheme val="minor"/>
      </rPr>
      <t xml:space="preserve">
White                           :  200000
Black                             :  300000</t>
    </r>
  </si>
  <si>
    <r>
      <rPr>
        <sz val="12"/>
        <color theme="1"/>
        <rFont val="Calibri"/>
        <family val="2"/>
        <scheme val="minor"/>
      </rPr>
      <t>Sales : 500000</t>
    </r>
    <r>
      <rPr>
        <sz val="11"/>
        <color theme="1"/>
        <rFont val="Calibri"/>
        <family val="2"/>
        <scheme val="minor"/>
      </rPr>
      <t xml:space="preserve">
White                           :  200000
Black                             :  300000</t>
    </r>
  </si>
  <si>
    <r>
      <rPr>
        <sz val="12"/>
        <color theme="1"/>
        <rFont val="Calibri"/>
        <family val="2"/>
        <scheme val="minor"/>
      </rPr>
      <t>Receipts : 500000</t>
    </r>
    <r>
      <rPr>
        <sz val="11"/>
        <color theme="1"/>
        <rFont val="Calibri"/>
        <family val="2"/>
        <scheme val="minor"/>
      </rPr>
      <t xml:space="preserve">
Official                           :  200000
Unofficial                             :  300000</t>
    </r>
  </si>
  <si>
    <r>
      <rPr>
        <sz val="12"/>
        <color theme="1"/>
        <rFont val="Calibri"/>
        <family val="2"/>
        <scheme val="minor"/>
      </rPr>
      <t>Payments : 500000</t>
    </r>
    <r>
      <rPr>
        <sz val="11"/>
        <color theme="1"/>
        <rFont val="Calibri"/>
        <family val="2"/>
        <scheme val="minor"/>
      </rPr>
      <t xml:space="preserve">
Official                           :  200000
Unofficial                            :  300000</t>
    </r>
  </si>
  <si>
    <r>
      <rPr>
        <sz val="12"/>
        <color theme="1"/>
        <rFont val="Calibri"/>
        <family val="2"/>
        <scheme val="minor"/>
      </rPr>
      <t>Adjustments : 500000</t>
    </r>
    <r>
      <rPr>
        <sz val="11"/>
        <color theme="1"/>
        <rFont val="Calibri"/>
        <family val="2"/>
        <scheme val="minor"/>
      </rPr>
      <t xml:space="preserve">
Official                :  +200000
UnOfficial          :  -300000</t>
    </r>
  </si>
  <si>
    <r>
      <rPr>
        <sz val="12"/>
        <color theme="1"/>
        <rFont val="Calibri"/>
        <family val="2"/>
        <scheme val="minor"/>
      </rPr>
      <t>Outstanding : 500000</t>
    </r>
    <r>
      <rPr>
        <sz val="11"/>
        <color theme="1"/>
        <rFont val="Calibri"/>
        <family val="2"/>
        <scheme val="minor"/>
      </rPr>
      <t xml:space="preserve">
Official                :  200000
Unofficial          :  300000</t>
    </r>
  </si>
  <si>
    <t>Customer Ledger : RAJIB MACHINERY</t>
  </si>
  <si>
    <t>ALL</t>
  </si>
  <si>
    <t>WHITE</t>
  </si>
  <si>
    <t>BLACK</t>
  </si>
  <si>
    <t>Date</t>
  </si>
  <si>
    <t>Particulars</t>
  </si>
  <si>
    <t>Vch Type</t>
  </si>
  <si>
    <t>Vch No</t>
  </si>
  <si>
    <t>Rate</t>
  </si>
  <si>
    <t>Bill Amt</t>
  </si>
  <si>
    <t>CGST</t>
  </si>
  <si>
    <t>SGST</t>
  </si>
  <si>
    <t>IGST</t>
  </si>
  <si>
    <t>Final Bill</t>
  </si>
  <si>
    <t>Cash</t>
  </si>
  <si>
    <t>Final Sale Total</t>
  </si>
  <si>
    <t>Bank Amt Rcvd</t>
  </si>
  <si>
    <t>Cash Amt Rcvd</t>
  </si>
  <si>
    <t>Final Balance</t>
  </si>
  <si>
    <t>Bank Balance</t>
  </si>
  <si>
    <t>Cash Balance</t>
  </si>
  <si>
    <t>Added By</t>
  </si>
  <si>
    <t>&lt;&lt;Also need to filter Multiple Column Headers, to get a selective data to see, like only Vch Type I need see Cash</t>
  </si>
  <si>
    <t>OPENING BALANCE</t>
  </si>
  <si>
    <t>Bill Wise &gt;&gt;</t>
  </si>
  <si>
    <t>Bank Of Baroda</t>
  </si>
  <si>
    <t>Receipt</t>
  </si>
  <si>
    <t>Cr</t>
  </si>
  <si>
    <t>IGST Sales</t>
  </si>
  <si>
    <t>Sales</t>
  </si>
  <si>
    <t>153/26-27</t>
  </si>
  <si>
    <t>Dr</t>
  </si>
  <si>
    <t>154/26-27</t>
  </si>
  <si>
    <t>Black Order</t>
  </si>
  <si>
    <t>155/26-27</t>
  </si>
  <si>
    <t>&lt;&lt;In Final Balance only add Tax Amt, But Bank Balance need to add full bill, cash amt no effect.</t>
  </si>
  <si>
    <t>&lt;&lt; Same for Sale conversion</t>
  </si>
  <si>
    <t>&lt;&lt; Purchase conversion need do opposite</t>
  </si>
  <si>
    <t>Current Total :</t>
  </si>
  <si>
    <t>&lt;&lt; Sales Return, In Bill Wise or Product Wise, can show final amt in credit side</t>
  </si>
  <si>
    <t>Closing Balance :</t>
  </si>
  <si>
    <t>&lt;&lt; Sales Return, In Detailed Bill Wise or Product Wise, can show show details as minus -50000</t>
  </si>
  <si>
    <t>Product Wise :</t>
  </si>
  <si>
    <t>White will show Date, Particulars, Vch Type, Vch No, Qty and green colored marked</t>
  </si>
  <si>
    <t>Black will show Date, Particulars, Vch Type, Vch No, Qty, Rate/Pc, Rate, Orange colored marked</t>
  </si>
  <si>
    <t>Qty</t>
  </si>
  <si>
    <t>Rate/Pc</t>
  </si>
  <si>
    <t>Bill Amt/Pc</t>
  </si>
  <si>
    <t>Product Wise</t>
  </si>
  <si>
    <t>1 Deck 1 Tray Electric Oven (MKL-101)</t>
  </si>
  <si>
    <t>10L Food Mixer (B10B)</t>
  </si>
  <si>
    <t>Bread Slicer (AS-Q31W)</t>
  </si>
  <si>
    <t>NOTES :</t>
  </si>
  <si>
    <t xml:space="preserve">1) </t>
  </si>
  <si>
    <t>Also if same name ledger present in local supplier, need to see records here on click of any button</t>
  </si>
  <si>
    <t>2)</t>
  </si>
  <si>
    <t>you can show purchase in the middle of rows, by showing records as minus in Detailed records and in short mode can show in Credit Side as you show payments received columns</t>
  </si>
</sst>
</file>

<file path=xl/styles.xml><?xml version="1.0" encoding="utf-8"?>
<styleSheet xmlns="http://schemas.openxmlformats.org/spreadsheetml/2006/main">
  <fonts count="9">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2"/>
      <color theme="1"/>
      <name val="Calibri"/>
      <family val="2"/>
      <scheme val="minor"/>
    </font>
    <font>
      <b/>
      <sz val="11"/>
      <color rgb="FFFF0000"/>
      <name val="Calibri"/>
      <family val="2"/>
      <scheme val="minor"/>
    </font>
    <font>
      <b/>
      <sz val="10"/>
      <color theme="1"/>
      <name val="Calibri"/>
      <family val="2"/>
      <scheme val="minor"/>
    </font>
    <font>
      <b/>
      <sz val="12"/>
      <color theme="1"/>
      <name val="Calibri"/>
      <family val="2"/>
      <scheme val="minor"/>
    </font>
    <font>
      <sz val="14"/>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xf numFmtId="0" fontId="3" fillId="0" borderId="0" xfId="0" applyFont="1"/>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left" vertical="center" wrapText="1"/>
    </xf>
    <xf numFmtId="0" fontId="0" fillId="0" borderId="0" xfId="0" applyBorder="1" applyAlignment="1">
      <alignment vertical="center" wrapText="1"/>
    </xf>
    <xf numFmtId="0" fontId="2" fillId="0" borderId="0" xfId="0" applyFont="1"/>
    <xf numFmtId="0" fontId="0" fillId="2" borderId="0" xfId="0" applyFill="1"/>
    <xf numFmtId="0" fontId="0" fillId="3" borderId="0" xfId="0" applyFill="1"/>
    <xf numFmtId="0" fontId="0" fillId="4" borderId="0" xfId="0" applyFill="1"/>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center" wrapText="1"/>
    </xf>
    <xf numFmtId="0" fontId="2" fillId="3" borderId="0" xfId="0" applyFont="1" applyFill="1" applyAlignment="1">
      <alignment horizontal="center" wrapText="1"/>
    </xf>
    <xf numFmtId="0" fontId="2" fillId="4" borderId="0" xfId="0" applyFont="1" applyFill="1" applyAlignment="1">
      <alignment horizontal="center" wrapText="1"/>
    </xf>
    <xf numFmtId="0" fontId="5" fillId="0" borderId="0" xfId="0" applyFont="1"/>
    <xf numFmtId="0" fontId="6" fillId="0" borderId="0" xfId="0" applyFon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right"/>
    </xf>
    <xf numFmtId="0" fontId="0" fillId="2" borderId="0" xfId="0" applyFill="1" applyAlignment="1">
      <alignment horizontal="center"/>
    </xf>
    <xf numFmtId="14" fontId="4" fillId="0" borderId="0" xfId="0" applyNumberFormat="1" applyFont="1" applyAlignment="1">
      <alignment horizontal="center"/>
    </xf>
    <xf numFmtId="0" fontId="7" fillId="0" borderId="0" xfId="0" applyFont="1"/>
    <xf numFmtId="0" fontId="7" fillId="0" borderId="0" xfId="0" applyFont="1" applyAlignment="1">
      <alignment horizontal="center"/>
    </xf>
    <xf numFmtId="0" fontId="8"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AB63"/>
  <sheetViews>
    <sheetView tabSelected="1" zoomScale="70" zoomScaleNormal="70" workbookViewId="0">
      <selection activeCell="AA20" sqref="AA20"/>
    </sheetView>
  </sheetViews>
  <sheetFormatPr defaultRowHeight="15"/>
  <cols>
    <col min="1" max="1" width="17.42578125" customWidth="1"/>
    <col min="2" max="2" width="10.7109375" customWidth="1"/>
    <col min="3" max="3" width="20" bestFit="1" customWidth="1"/>
    <col min="4" max="4" width="13.28515625" customWidth="1"/>
    <col min="5" max="5" width="12.42578125" customWidth="1"/>
    <col min="6" max="16" width="9.42578125" customWidth="1"/>
    <col min="17" max="17" width="3.140625" customWidth="1"/>
    <col min="18" max="18" width="9.42578125" customWidth="1"/>
    <col min="19" max="19" width="3.140625" customWidth="1"/>
    <col min="20" max="20" width="9.42578125" customWidth="1"/>
    <col min="21" max="21" width="3.140625" customWidth="1"/>
  </cols>
  <sheetData>
    <row r="2" spans="1:1">
      <c r="A2" t="s">
        <v>0</v>
      </c>
    </row>
    <row r="3" spans="1:1">
      <c r="A3"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s="1" t="s">
        <v>11</v>
      </c>
    </row>
    <row r="14" spans="1:1">
      <c r="A14" s="1" t="s">
        <v>12</v>
      </c>
    </row>
    <row r="15" spans="1:1">
      <c r="A15" s="1" t="s">
        <v>13</v>
      </c>
    </row>
    <row r="16" spans="1:1">
      <c r="A16" s="1" t="s">
        <v>14</v>
      </c>
    </row>
    <row r="17" spans="1:27">
      <c r="A17" s="2" t="s">
        <v>15</v>
      </c>
    </row>
    <row r="18" spans="1:27">
      <c r="A18" s="1"/>
      <c r="J18" s="1" t="s">
        <v>16</v>
      </c>
    </row>
    <row r="19" spans="1:27">
      <c r="A19" s="1"/>
      <c r="J19" s="1" t="s">
        <v>17</v>
      </c>
    </row>
    <row r="20" spans="1:27">
      <c r="A20" s="3" t="s">
        <v>18</v>
      </c>
      <c r="B20" s="3"/>
      <c r="D20" s="4" t="s">
        <v>19</v>
      </c>
      <c r="E20" s="5"/>
      <c r="F20" s="5"/>
      <c r="G20" s="6"/>
      <c r="I20" s="3" t="s">
        <v>20</v>
      </c>
      <c r="J20" s="3"/>
      <c r="K20" s="3"/>
      <c r="N20" s="4" t="s">
        <v>21</v>
      </c>
      <c r="O20" s="5"/>
      <c r="P20" s="5"/>
      <c r="Q20" s="6"/>
      <c r="S20" s="4" t="s">
        <v>22</v>
      </c>
      <c r="T20" s="5"/>
      <c r="U20" s="5"/>
      <c r="V20" s="6"/>
      <c r="X20" s="7" t="s">
        <v>23</v>
      </c>
      <c r="Y20" s="7"/>
      <c r="Z20" s="7"/>
      <c r="AA20" s="8"/>
    </row>
    <row r="21" spans="1:27">
      <c r="A21" s="1"/>
    </row>
    <row r="22" spans="1:27">
      <c r="A22" s="1"/>
    </row>
    <row r="24" spans="1:27">
      <c r="B24" s="9" t="s">
        <v>24</v>
      </c>
      <c r="H24" s="10" t="s">
        <v>25</v>
      </c>
      <c r="J24" s="11" t="s">
        <v>26</v>
      </c>
      <c r="L24" s="12" t="s">
        <v>27</v>
      </c>
    </row>
    <row r="26" spans="1:27" s="9" customFormat="1" ht="30">
      <c r="B26" s="13" t="s">
        <v>28</v>
      </c>
      <c r="C26" s="9" t="s">
        <v>29</v>
      </c>
      <c r="D26" s="9" t="s">
        <v>30</v>
      </c>
      <c r="E26" s="13" t="s">
        <v>31</v>
      </c>
      <c r="F26" s="13" t="s">
        <v>32</v>
      </c>
      <c r="G26" s="14" t="s">
        <v>33</v>
      </c>
      <c r="H26" s="14" t="s">
        <v>34</v>
      </c>
      <c r="I26" s="14" t="s">
        <v>35</v>
      </c>
      <c r="J26" s="14" t="s">
        <v>36</v>
      </c>
      <c r="K26" s="14" t="s">
        <v>37</v>
      </c>
      <c r="L26" s="15" t="s">
        <v>38</v>
      </c>
      <c r="M26" s="16" t="s">
        <v>39</v>
      </c>
      <c r="N26" s="17" t="s">
        <v>40</v>
      </c>
      <c r="O26" s="18" t="s">
        <v>41</v>
      </c>
      <c r="P26" s="16" t="s">
        <v>42</v>
      </c>
      <c r="R26" s="17" t="s">
        <v>43</v>
      </c>
      <c r="T26" s="18" t="s">
        <v>44</v>
      </c>
      <c r="V26" s="9" t="s">
        <v>45</v>
      </c>
      <c r="X26" s="19" t="s">
        <v>46</v>
      </c>
    </row>
    <row r="27" spans="1:27">
      <c r="B27" s="20" t="s">
        <v>47</v>
      </c>
      <c r="E27" s="21"/>
      <c r="F27" s="21"/>
      <c r="G27" s="21"/>
      <c r="H27" s="21"/>
      <c r="I27" s="21"/>
      <c r="J27" s="21"/>
      <c r="K27" s="21"/>
      <c r="L27" s="21"/>
      <c r="M27" s="21"/>
      <c r="N27" s="21"/>
      <c r="O27" s="21"/>
      <c r="P27" s="21"/>
      <c r="R27" s="21"/>
      <c r="T27" s="21"/>
    </row>
    <row r="28" spans="1:27">
      <c r="B28" s="20"/>
      <c r="E28" s="21"/>
      <c r="F28" s="21"/>
      <c r="G28" s="21"/>
      <c r="H28" s="21"/>
      <c r="I28" s="21"/>
      <c r="J28" s="21"/>
      <c r="K28" s="21"/>
      <c r="L28" s="21"/>
      <c r="M28" s="21"/>
      <c r="N28" s="21"/>
      <c r="O28" s="21"/>
      <c r="P28" s="21"/>
      <c r="R28" s="21"/>
      <c r="T28" s="21"/>
    </row>
    <row r="29" spans="1:27">
      <c r="A29" s="1" t="s">
        <v>48</v>
      </c>
      <c r="B29" s="22">
        <v>46239</v>
      </c>
      <c r="C29" t="s">
        <v>49</v>
      </c>
      <c r="D29" t="s">
        <v>50</v>
      </c>
      <c r="E29" s="21">
        <v>218</v>
      </c>
      <c r="F29" s="21"/>
      <c r="G29" s="21"/>
      <c r="H29" s="21"/>
      <c r="I29" s="21"/>
      <c r="J29" s="21"/>
      <c r="K29" s="21"/>
      <c r="L29" s="21"/>
      <c r="M29" s="21"/>
      <c r="N29" s="21">
        <v>14160</v>
      </c>
      <c r="O29" s="21"/>
      <c r="P29" s="21">
        <f>M29-N29-O29</f>
        <v>-14160</v>
      </c>
      <c r="Q29" s="23" t="s">
        <v>51</v>
      </c>
      <c r="R29" s="21">
        <f>K29-N29</f>
        <v>-14160</v>
      </c>
      <c r="S29" s="23" t="s">
        <v>51</v>
      </c>
      <c r="T29" s="21">
        <f>L29-O29</f>
        <v>0</v>
      </c>
      <c r="U29" s="23"/>
    </row>
    <row r="30" spans="1:27">
      <c r="B30" s="22">
        <v>46242</v>
      </c>
      <c r="C30" t="s">
        <v>52</v>
      </c>
      <c r="D30" t="s">
        <v>53</v>
      </c>
      <c r="E30" s="21" t="s">
        <v>54</v>
      </c>
      <c r="F30" s="21">
        <v>25000</v>
      </c>
      <c r="G30" s="21">
        <v>12000</v>
      </c>
      <c r="H30" s="21"/>
      <c r="I30" s="21"/>
      <c r="J30" s="21">
        <f>G30*0.18</f>
        <v>2160</v>
      </c>
      <c r="K30" s="21">
        <f>G30+H30+I30+J30</f>
        <v>14160</v>
      </c>
      <c r="L30" s="21">
        <f>F30-G30</f>
        <v>13000</v>
      </c>
      <c r="M30" s="21">
        <f>K30+L30</f>
        <v>27160</v>
      </c>
      <c r="N30" s="21"/>
      <c r="O30" s="21"/>
      <c r="P30" s="21">
        <f>P29+(M30-N30-O30)</f>
        <v>13000</v>
      </c>
      <c r="Q30" s="23" t="s">
        <v>55</v>
      </c>
      <c r="R30" s="21">
        <f>R29+(K30-N30)</f>
        <v>0</v>
      </c>
      <c r="S30" s="23"/>
      <c r="T30" s="21">
        <f>T29+(L30-O30)</f>
        <v>13000</v>
      </c>
      <c r="U30" s="23" t="s">
        <v>55</v>
      </c>
    </row>
    <row r="31" spans="1:27">
      <c r="B31" s="22">
        <v>46244</v>
      </c>
      <c r="C31" t="s">
        <v>52</v>
      </c>
      <c r="D31" t="s">
        <v>53</v>
      </c>
      <c r="E31" s="21" t="s">
        <v>56</v>
      </c>
      <c r="F31" s="21">
        <v>80000</v>
      </c>
      <c r="G31" s="21">
        <v>34000</v>
      </c>
      <c r="H31" s="21"/>
      <c r="I31" s="21"/>
      <c r="J31" s="21">
        <f>G31*0.18</f>
        <v>6120</v>
      </c>
      <c r="K31" s="21">
        <f>G31+H31+I31+J31</f>
        <v>40120</v>
      </c>
      <c r="L31" s="21">
        <f>F31-G31</f>
        <v>46000</v>
      </c>
      <c r="M31" s="21">
        <f>K31+L31</f>
        <v>86120</v>
      </c>
      <c r="N31" s="21"/>
      <c r="O31" s="21"/>
      <c r="P31" s="21">
        <f t="shared" ref="P31:P34" si="0">P30+(M31-N31-O31)</f>
        <v>99120</v>
      </c>
      <c r="Q31" s="23" t="s">
        <v>55</v>
      </c>
      <c r="R31" s="21">
        <f t="shared" ref="R31:R34" si="1">R30+(K31-N31)</f>
        <v>40120</v>
      </c>
      <c r="S31" s="23" t="s">
        <v>55</v>
      </c>
      <c r="T31" s="21">
        <f t="shared" ref="T31:T34" si="2">T30+(L31-O31)</f>
        <v>59000</v>
      </c>
      <c r="U31" s="23" t="s">
        <v>55</v>
      </c>
    </row>
    <row r="32" spans="1:27">
      <c r="B32" s="22">
        <v>46244</v>
      </c>
      <c r="C32" t="s">
        <v>38</v>
      </c>
      <c r="D32" t="s">
        <v>50</v>
      </c>
      <c r="E32" s="21">
        <v>1</v>
      </c>
      <c r="F32" s="21"/>
      <c r="G32" s="21"/>
      <c r="H32" s="21"/>
      <c r="I32" s="21"/>
      <c r="J32" s="21"/>
      <c r="K32" s="21"/>
      <c r="L32" s="21"/>
      <c r="M32" s="21"/>
      <c r="N32" s="21"/>
      <c r="O32" s="21">
        <v>13000</v>
      </c>
      <c r="P32" s="21">
        <f t="shared" si="0"/>
        <v>86120</v>
      </c>
      <c r="Q32" s="23" t="s">
        <v>55</v>
      </c>
      <c r="R32" s="21">
        <f t="shared" si="1"/>
        <v>40120</v>
      </c>
      <c r="S32" s="23" t="s">
        <v>55</v>
      </c>
      <c r="T32" s="21">
        <f t="shared" si="2"/>
        <v>46000</v>
      </c>
      <c r="U32" s="23" t="s">
        <v>55</v>
      </c>
    </row>
    <row r="33" spans="1:28">
      <c r="B33" s="22">
        <v>46244</v>
      </c>
      <c r="C33" t="s">
        <v>52</v>
      </c>
      <c r="D33" t="s">
        <v>57</v>
      </c>
      <c r="E33" s="21" t="s">
        <v>58</v>
      </c>
      <c r="F33" s="21"/>
      <c r="G33" s="21">
        <v>50000</v>
      </c>
      <c r="H33" s="21"/>
      <c r="I33" s="21"/>
      <c r="J33" s="24">
        <f>G33*0.18</f>
        <v>9000</v>
      </c>
      <c r="K33" s="21">
        <f>G33+H33+I33+J33</f>
        <v>59000</v>
      </c>
      <c r="L33" s="21"/>
      <c r="M33" s="21">
        <f>K33+L33</f>
        <v>59000</v>
      </c>
      <c r="N33" s="21"/>
      <c r="O33" s="21"/>
      <c r="P33" s="24">
        <f t="shared" si="0"/>
        <v>145120</v>
      </c>
      <c r="Q33" s="23" t="s">
        <v>55</v>
      </c>
      <c r="R33" s="21">
        <f t="shared" si="1"/>
        <v>99120</v>
      </c>
      <c r="S33" s="23" t="s">
        <v>55</v>
      </c>
      <c r="T33" s="21">
        <f t="shared" si="2"/>
        <v>46000</v>
      </c>
      <c r="U33" s="23" t="s">
        <v>55</v>
      </c>
      <c r="W33" s="1" t="s">
        <v>59</v>
      </c>
    </row>
    <row r="34" spans="1:28">
      <c r="B34" s="22">
        <v>46244</v>
      </c>
      <c r="C34" t="s">
        <v>38</v>
      </c>
      <c r="D34" t="s">
        <v>50</v>
      </c>
      <c r="E34" s="21">
        <v>1</v>
      </c>
      <c r="F34" s="21"/>
      <c r="G34" s="21"/>
      <c r="H34" s="21"/>
      <c r="I34" s="21"/>
      <c r="J34" s="21"/>
      <c r="K34" s="21"/>
      <c r="L34" s="21"/>
      <c r="M34" s="21"/>
      <c r="N34" s="21"/>
      <c r="O34" s="21"/>
      <c r="P34" s="21">
        <f t="shared" si="0"/>
        <v>145120</v>
      </c>
      <c r="Q34" s="23" t="s">
        <v>55</v>
      </c>
      <c r="R34" s="21">
        <f t="shared" si="1"/>
        <v>99120</v>
      </c>
      <c r="S34" s="23" t="s">
        <v>55</v>
      </c>
      <c r="T34" s="21">
        <f t="shared" si="2"/>
        <v>46000</v>
      </c>
      <c r="U34" s="23" t="s">
        <v>55</v>
      </c>
      <c r="W34" s="1" t="s">
        <v>60</v>
      </c>
    </row>
    <row r="35" spans="1:28">
      <c r="W35" s="1" t="s">
        <v>61</v>
      </c>
    </row>
    <row r="36" spans="1:28">
      <c r="C36" t="s">
        <v>62</v>
      </c>
      <c r="F36">
        <f t="shared" ref="F36:O36" si="3">SUM(F27:F35)</f>
        <v>105000</v>
      </c>
      <c r="G36">
        <f t="shared" si="3"/>
        <v>96000</v>
      </c>
      <c r="H36">
        <f t="shared" si="3"/>
        <v>0</v>
      </c>
      <c r="I36">
        <f t="shared" si="3"/>
        <v>0</v>
      </c>
      <c r="J36">
        <f t="shared" si="3"/>
        <v>17280</v>
      </c>
      <c r="K36">
        <f t="shared" si="3"/>
        <v>113280</v>
      </c>
      <c r="L36">
        <f t="shared" si="3"/>
        <v>59000</v>
      </c>
      <c r="M36">
        <f t="shared" si="3"/>
        <v>172280</v>
      </c>
      <c r="N36">
        <f t="shared" si="3"/>
        <v>14160</v>
      </c>
      <c r="O36">
        <f t="shared" si="3"/>
        <v>13000</v>
      </c>
      <c r="W36" s="1" t="s">
        <v>63</v>
      </c>
    </row>
    <row r="37" spans="1:28">
      <c r="C37" s="9" t="s">
        <v>64</v>
      </c>
      <c r="P37">
        <v>86120</v>
      </c>
      <c r="Q37" s="23" t="s">
        <v>55</v>
      </c>
      <c r="R37">
        <v>40120</v>
      </c>
      <c r="S37" s="23" t="s">
        <v>55</v>
      </c>
      <c r="T37">
        <v>46000</v>
      </c>
      <c r="U37" s="23" t="s">
        <v>55</v>
      </c>
      <c r="W37" s="1" t="s">
        <v>65</v>
      </c>
    </row>
    <row r="38" spans="1:28">
      <c r="C38" s="9"/>
      <c r="Q38" s="23"/>
      <c r="S38" s="23"/>
      <c r="U38" s="23"/>
    </row>
    <row r="39" spans="1:28">
      <c r="C39" s="9"/>
      <c r="Q39" s="23"/>
      <c r="S39" s="23"/>
      <c r="U39" s="23"/>
    </row>
    <row r="40" spans="1:28">
      <c r="A40" s="1" t="s">
        <v>66</v>
      </c>
    </row>
    <row r="41" spans="1:28">
      <c r="A41" s="1" t="s">
        <v>12</v>
      </c>
    </row>
    <row r="42" spans="1:28">
      <c r="A42" s="1" t="s">
        <v>67</v>
      </c>
    </row>
    <row r="43" spans="1:28">
      <c r="A43" s="1" t="s">
        <v>68</v>
      </c>
    </row>
    <row r="45" spans="1:28" s="9" customFormat="1" ht="30">
      <c r="B45" s="13" t="s">
        <v>28</v>
      </c>
      <c r="C45" s="9" t="s">
        <v>29</v>
      </c>
      <c r="D45" s="9" t="s">
        <v>30</v>
      </c>
      <c r="E45" s="13" t="s">
        <v>31</v>
      </c>
      <c r="F45" s="13" t="s">
        <v>69</v>
      </c>
      <c r="G45" s="13" t="s">
        <v>70</v>
      </c>
      <c r="H45" s="13" t="s">
        <v>32</v>
      </c>
      <c r="I45" s="17" t="s">
        <v>71</v>
      </c>
      <c r="J45" s="14" t="s">
        <v>33</v>
      </c>
      <c r="K45" s="14" t="s">
        <v>34</v>
      </c>
      <c r="L45" s="14" t="s">
        <v>35</v>
      </c>
      <c r="M45" s="14" t="s">
        <v>36</v>
      </c>
      <c r="N45" s="14" t="s">
        <v>37</v>
      </c>
      <c r="O45" s="15" t="s">
        <v>38</v>
      </c>
      <c r="P45" s="16" t="s">
        <v>39</v>
      </c>
      <c r="R45" s="17" t="s">
        <v>40</v>
      </c>
      <c r="T45" s="18" t="s">
        <v>41</v>
      </c>
      <c r="V45" s="16" t="s">
        <v>42</v>
      </c>
      <c r="X45" s="17" t="s">
        <v>43</v>
      </c>
      <c r="Z45" s="18" t="s">
        <v>44</v>
      </c>
      <c r="AB45" s="9" t="s">
        <v>45</v>
      </c>
    </row>
    <row r="46" spans="1:28">
      <c r="B46" s="20" t="s">
        <v>47</v>
      </c>
      <c r="E46" s="21"/>
      <c r="F46" s="21"/>
      <c r="G46" s="21"/>
      <c r="H46" s="21"/>
      <c r="I46" s="21"/>
      <c r="J46" s="21"/>
      <c r="K46" s="21"/>
      <c r="L46" s="21"/>
      <c r="M46" s="21"/>
      <c r="N46" s="21"/>
      <c r="O46" s="21"/>
      <c r="P46" s="21"/>
      <c r="R46" s="21"/>
      <c r="T46" s="21"/>
      <c r="V46" s="21"/>
      <c r="X46" s="21"/>
      <c r="Z46" s="21"/>
    </row>
    <row r="47" spans="1:28" ht="9.6" customHeight="1">
      <c r="B47" s="20"/>
      <c r="E47" s="21"/>
      <c r="F47" s="21"/>
      <c r="G47" s="21"/>
      <c r="H47" s="21"/>
      <c r="I47" s="21"/>
      <c r="J47" s="21"/>
      <c r="K47" s="21"/>
      <c r="L47" s="21"/>
      <c r="M47" s="21"/>
      <c r="N47" s="21"/>
      <c r="O47" s="21"/>
      <c r="P47" s="21"/>
      <c r="R47" s="21"/>
      <c r="T47" s="21"/>
      <c r="V47" s="21"/>
      <c r="X47" s="21"/>
      <c r="Z47" s="21"/>
    </row>
    <row r="48" spans="1:28" ht="15.75">
      <c r="A48" s="1" t="s">
        <v>72</v>
      </c>
      <c r="B48" s="25">
        <v>46239</v>
      </c>
      <c r="C48" s="26" t="s">
        <v>49</v>
      </c>
      <c r="D48" s="26" t="s">
        <v>50</v>
      </c>
      <c r="E48" s="27">
        <v>218</v>
      </c>
      <c r="F48" s="21"/>
      <c r="G48" s="21"/>
      <c r="H48" s="21"/>
      <c r="I48" s="21"/>
      <c r="J48" s="21"/>
      <c r="K48" s="21"/>
      <c r="L48" s="21"/>
      <c r="M48" s="21"/>
      <c r="N48" s="21"/>
      <c r="O48" s="21"/>
      <c r="P48" s="21"/>
      <c r="R48" s="21">
        <v>14160</v>
      </c>
      <c r="T48" s="21"/>
      <c r="V48" s="21">
        <f>P48-R48-T48</f>
        <v>-14160</v>
      </c>
      <c r="W48" s="23" t="s">
        <v>51</v>
      </c>
      <c r="X48" s="21">
        <f>N48-R48</f>
        <v>-14160</v>
      </c>
      <c r="Y48" s="23" t="s">
        <v>51</v>
      </c>
      <c r="Z48" s="21">
        <f>O48-T48</f>
        <v>0</v>
      </c>
      <c r="AA48" s="23"/>
    </row>
    <row r="49" spans="2:27" ht="15.75">
      <c r="B49" s="25">
        <v>46242</v>
      </c>
      <c r="C49" s="26" t="s">
        <v>52</v>
      </c>
      <c r="D49" s="26" t="s">
        <v>53</v>
      </c>
      <c r="E49" s="27" t="s">
        <v>54</v>
      </c>
      <c r="F49" s="21"/>
      <c r="G49" s="21"/>
      <c r="H49" s="21"/>
      <c r="I49" s="21"/>
      <c r="J49" s="21"/>
      <c r="K49" s="21"/>
      <c r="L49" s="21"/>
      <c r="M49" s="21">
        <f>J49*0.18</f>
        <v>0</v>
      </c>
      <c r="N49" s="21">
        <f>J49+K49+L49+M49</f>
        <v>0</v>
      </c>
      <c r="O49" s="21">
        <f>H49-J49</f>
        <v>0</v>
      </c>
      <c r="P49" s="21">
        <f>N49+O49</f>
        <v>0</v>
      </c>
      <c r="R49" s="21"/>
      <c r="T49" s="21"/>
      <c r="V49" s="21">
        <f>V48+(P49-R49-T49)</f>
        <v>-14160</v>
      </c>
      <c r="W49" s="23" t="s">
        <v>55</v>
      </c>
      <c r="X49" s="21">
        <f>X48+ (N49-R49)</f>
        <v>-14160</v>
      </c>
      <c r="Y49" s="23"/>
      <c r="Z49" s="21">
        <f>Z48+ (O49-T49)</f>
        <v>0</v>
      </c>
      <c r="AA49" s="23" t="s">
        <v>55</v>
      </c>
    </row>
    <row r="50" spans="2:27">
      <c r="B50" s="22"/>
      <c r="C50" t="s">
        <v>73</v>
      </c>
      <c r="D50" s="21"/>
      <c r="E50" s="21"/>
      <c r="F50" s="21">
        <v>2</v>
      </c>
      <c r="G50" s="21">
        <v>12500</v>
      </c>
      <c r="H50" s="21">
        <f>F50*G50</f>
        <v>25000</v>
      </c>
      <c r="I50" s="21">
        <v>6000</v>
      </c>
      <c r="J50" s="21">
        <f>I50*F50</f>
        <v>12000</v>
      </c>
      <c r="K50" s="21"/>
      <c r="L50" s="21"/>
      <c r="M50" s="21">
        <f>J50*0.18</f>
        <v>2160</v>
      </c>
      <c r="N50" s="21">
        <f>J50+K50+L50+M50</f>
        <v>14160</v>
      </c>
      <c r="O50" s="21">
        <f>H50-J50</f>
        <v>13000</v>
      </c>
      <c r="P50" s="21">
        <f>N50+O50</f>
        <v>27160</v>
      </c>
      <c r="R50" s="21"/>
      <c r="T50" s="21"/>
      <c r="V50" s="21">
        <f t="shared" ref="V50:V55" si="4">V49+(P50-R50-T50)</f>
        <v>13000</v>
      </c>
      <c r="W50" s="23"/>
      <c r="X50" s="21">
        <f t="shared" ref="X50:X55" si="5">X49+ (N50-R50)</f>
        <v>0</v>
      </c>
      <c r="Y50" s="23"/>
      <c r="Z50" s="21">
        <f t="shared" ref="Z50:Z55" si="6">Z49+ (O50-T50)</f>
        <v>13000</v>
      </c>
      <c r="AA50" s="23"/>
    </row>
    <row r="51" spans="2:27">
      <c r="B51" s="22"/>
      <c r="E51" s="21"/>
      <c r="F51" s="21"/>
      <c r="G51" s="21"/>
      <c r="H51" s="21"/>
      <c r="I51" s="21"/>
      <c r="J51" s="21"/>
      <c r="K51" s="21"/>
      <c r="L51" s="21"/>
      <c r="M51" s="21"/>
      <c r="N51" s="21"/>
      <c r="O51" s="21"/>
      <c r="P51" s="21"/>
      <c r="R51" s="21"/>
      <c r="T51" s="21"/>
      <c r="V51" s="21">
        <f t="shared" si="4"/>
        <v>13000</v>
      </c>
      <c r="W51" s="23"/>
      <c r="X51" s="21">
        <f t="shared" si="5"/>
        <v>0</v>
      </c>
      <c r="Y51" s="23"/>
      <c r="Z51" s="21">
        <f t="shared" si="6"/>
        <v>13000</v>
      </c>
      <c r="AA51" s="23"/>
    </row>
    <row r="52" spans="2:27" ht="15.75">
      <c r="B52" s="25">
        <v>46244</v>
      </c>
      <c r="C52" s="26" t="s">
        <v>52</v>
      </c>
      <c r="D52" s="26" t="s">
        <v>53</v>
      </c>
      <c r="E52" s="27" t="s">
        <v>56</v>
      </c>
      <c r="F52" s="21"/>
      <c r="G52" s="21"/>
      <c r="H52" s="21"/>
      <c r="I52" s="21"/>
      <c r="J52" s="21"/>
      <c r="K52" s="21"/>
      <c r="L52" s="21"/>
      <c r="M52" s="21">
        <f>J52*0.18</f>
        <v>0</v>
      </c>
      <c r="N52" s="21">
        <f>J52+K52+L52+M52</f>
        <v>0</v>
      </c>
      <c r="O52" s="21">
        <f>H52-J52</f>
        <v>0</v>
      </c>
      <c r="P52" s="21">
        <f>N52+O52</f>
        <v>0</v>
      </c>
      <c r="R52" s="21"/>
      <c r="T52" s="21"/>
      <c r="V52" s="21">
        <f t="shared" si="4"/>
        <v>13000</v>
      </c>
      <c r="W52" s="23" t="s">
        <v>55</v>
      </c>
      <c r="X52" s="21">
        <f t="shared" si="5"/>
        <v>0</v>
      </c>
      <c r="Y52" s="23" t="s">
        <v>55</v>
      </c>
      <c r="Z52" s="21">
        <f t="shared" si="6"/>
        <v>13000</v>
      </c>
      <c r="AA52" s="23" t="s">
        <v>55</v>
      </c>
    </row>
    <row r="53" spans="2:27">
      <c r="B53" s="22"/>
      <c r="C53" t="s">
        <v>74</v>
      </c>
      <c r="E53" s="21"/>
      <c r="F53" s="21">
        <v>2</v>
      </c>
      <c r="G53" s="21">
        <v>25000</v>
      </c>
      <c r="H53" s="21">
        <f>F53*G53</f>
        <v>50000</v>
      </c>
      <c r="I53" s="21">
        <v>12000</v>
      </c>
      <c r="J53" s="21">
        <f>I53*F53</f>
        <v>24000</v>
      </c>
      <c r="K53" s="21"/>
      <c r="L53" s="21"/>
      <c r="M53" s="21">
        <f>J53*0.18</f>
        <v>4320</v>
      </c>
      <c r="N53" s="21">
        <f>J53+K53+L53+M53</f>
        <v>28320</v>
      </c>
      <c r="O53" s="21">
        <f>H53-J53</f>
        <v>26000</v>
      </c>
      <c r="P53" s="21">
        <f>N53+O53</f>
        <v>54320</v>
      </c>
      <c r="R53" s="21"/>
      <c r="T53" s="21"/>
      <c r="V53" s="21">
        <f t="shared" si="4"/>
        <v>67320</v>
      </c>
      <c r="W53" s="23"/>
      <c r="X53" s="21">
        <f t="shared" si="5"/>
        <v>28320</v>
      </c>
      <c r="Y53" s="23"/>
      <c r="Z53" s="21">
        <f t="shared" si="6"/>
        <v>39000</v>
      </c>
      <c r="AA53" s="23"/>
    </row>
    <row r="54" spans="2:27">
      <c r="B54" s="22"/>
      <c r="C54" t="s">
        <v>75</v>
      </c>
      <c r="E54" s="21"/>
      <c r="F54" s="21">
        <v>1</v>
      </c>
      <c r="G54" s="21">
        <v>30000</v>
      </c>
      <c r="H54" s="21">
        <f>F54*G54</f>
        <v>30000</v>
      </c>
      <c r="I54" s="21">
        <v>10000</v>
      </c>
      <c r="J54" s="21">
        <f>I54*F54</f>
        <v>10000</v>
      </c>
      <c r="K54" s="21"/>
      <c r="L54" s="21"/>
      <c r="M54" s="21">
        <f>J54*0.18</f>
        <v>1800</v>
      </c>
      <c r="N54" s="21">
        <f>J54+K54+L54+M54</f>
        <v>11800</v>
      </c>
      <c r="O54" s="21">
        <f>H54-J54</f>
        <v>20000</v>
      </c>
      <c r="P54" s="21">
        <f>N54+O54</f>
        <v>31800</v>
      </c>
      <c r="R54" s="21"/>
      <c r="T54" s="21"/>
      <c r="V54" s="21">
        <f t="shared" si="4"/>
        <v>99120</v>
      </c>
      <c r="W54" s="23"/>
      <c r="X54" s="21">
        <f t="shared" si="5"/>
        <v>40120</v>
      </c>
      <c r="Y54" s="23"/>
      <c r="Z54" s="21">
        <f t="shared" si="6"/>
        <v>59000</v>
      </c>
      <c r="AA54" s="23"/>
    </row>
    <row r="55" spans="2:27" ht="15.75">
      <c r="B55" s="25">
        <v>46244</v>
      </c>
      <c r="C55" s="26" t="s">
        <v>38</v>
      </c>
      <c r="D55" s="26" t="s">
        <v>50</v>
      </c>
      <c r="E55" s="27">
        <v>1</v>
      </c>
      <c r="F55" s="21"/>
      <c r="G55" s="21"/>
      <c r="H55" s="21"/>
      <c r="I55" s="21"/>
      <c r="J55" s="21"/>
      <c r="K55" s="21"/>
      <c r="L55" s="21"/>
      <c r="M55" s="21"/>
      <c r="N55" s="21"/>
      <c r="O55" s="21"/>
      <c r="P55" s="21"/>
      <c r="R55" s="21"/>
      <c r="T55" s="21">
        <v>13000</v>
      </c>
      <c r="V55" s="21">
        <f t="shared" si="4"/>
        <v>86120</v>
      </c>
      <c r="W55" s="23" t="s">
        <v>55</v>
      </c>
      <c r="X55" s="21">
        <f t="shared" si="5"/>
        <v>40120</v>
      </c>
      <c r="Y55" s="23" t="s">
        <v>55</v>
      </c>
      <c r="Z55" s="21">
        <f t="shared" si="6"/>
        <v>46000</v>
      </c>
      <c r="AA55" s="23" t="s">
        <v>55</v>
      </c>
    </row>
    <row r="57" spans="2:27">
      <c r="C57" t="s">
        <v>62</v>
      </c>
      <c r="H57">
        <f>SUM(H46:H56)</f>
        <v>105000</v>
      </c>
      <c r="J57">
        <f t="shared" ref="J57:P57" si="7">SUM(J46:J56)</f>
        <v>46000</v>
      </c>
      <c r="K57">
        <f t="shared" si="7"/>
        <v>0</v>
      </c>
      <c r="L57">
        <f t="shared" si="7"/>
        <v>0</v>
      </c>
      <c r="M57">
        <f t="shared" si="7"/>
        <v>8280</v>
      </c>
      <c r="N57">
        <f t="shared" si="7"/>
        <v>54280</v>
      </c>
      <c r="O57">
        <f t="shared" si="7"/>
        <v>59000</v>
      </c>
      <c r="P57">
        <f t="shared" si="7"/>
        <v>113280</v>
      </c>
      <c r="R57">
        <f>SUM(R46:R56)</f>
        <v>14160</v>
      </c>
      <c r="T57">
        <f>SUM(T46:T56)</f>
        <v>13000</v>
      </c>
    </row>
    <row r="58" spans="2:27">
      <c r="C58" s="9" t="s">
        <v>64</v>
      </c>
      <c r="V58">
        <v>86120</v>
      </c>
      <c r="W58" s="23" t="s">
        <v>55</v>
      </c>
      <c r="X58">
        <v>40120</v>
      </c>
      <c r="Y58" s="23" t="s">
        <v>55</v>
      </c>
      <c r="Z58">
        <v>46000</v>
      </c>
      <c r="AA58" s="23" t="s">
        <v>55</v>
      </c>
    </row>
    <row r="61" spans="2:27" ht="18.75">
      <c r="C61" s="28" t="s">
        <v>76</v>
      </c>
    </row>
    <row r="62" spans="2:27">
      <c r="B62" t="s">
        <v>77</v>
      </c>
      <c r="C62" t="s">
        <v>78</v>
      </c>
    </row>
    <row r="63" spans="2:27">
      <c r="B63" t="s">
        <v>79</v>
      </c>
      <c r="C63" t="s">
        <v>80</v>
      </c>
    </row>
  </sheetData>
  <mergeCells count="6">
    <mergeCell ref="A20:B20"/>
    <mergeCell ref="D20:G20"/>
    <mergeCell ref="I20:K20"/>
    <mergeCell ref="N20:Q20"/>
    <mergeCell ref="S20:V20"/>
    <mergeCell ref="X20:Z2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dc:creator>
  <cp:lastModifiedBy>Saad</cp:lastModifiedBy>
  <dcterms:created xsi:type="dcterms:W3CDTF">2026-09-25T05:57:26Z</dcterms:created>
  <dcterms:modified xsi:type="dcterms:W3CDTF">2026-09-25T05:58:57Z</dcterms:modified>
</cp:coreProperties>
</file>